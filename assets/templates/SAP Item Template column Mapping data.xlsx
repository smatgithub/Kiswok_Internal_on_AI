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_home/Downloads/"/>
    </mc:Choice>
  </mc:AlternateContent>
  <xr:revisionPtr revIDLastSave="0" documentId="8_{92570D1E-90C2-FC45-BA6F-60FA852B737F}" xr6:coauthVersionLast="47" xr6:coauthVersionMax="47" xr10:uidLastSave="{00000000-0000-0000-0000-000000000000}"/>
  <bookViews>
    <workbookView xWindow="0" yWindow="760" windowWidth="38400" windowHeight="24100" xr2:uid="{89531264-3F51-174A-B534-72D158616AFA}"/>
  </bookViews>
  <sheets>
    <sheet name="Template Mapping 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10" i="1"/>
  <c r="D11" i="1"/>
  <c r="D12" i="1"/>
  <c r="D20" i="1"/>
  <c r="D24" i="1"/>
  <c r="D38" i="1"/>
</calcChain>
</file>

<file path=xl/sharedStrings.xml><?xml version="1.0" encoding="utf-8"?>
<sst xmlns="http://schemas.openxmlformats.org/spreadsheetml/2006/main" count="197" uniqueCount="132">
  <si>
    <t>Default Fixed value</t>
  </si>
  <si>
    <t>Fixed Value</t>
  </si>
  <si>
    <t>X</t>
  </si>
  <si>
    <t>Indicator: Costing</t>
  </si>
  <si>
    <t>Indicator: Accounting</t>
  </si>
  <si>
    <t>Select Views/Maintenance Status</t>
  </si>
  <si>
    <t>Currency of the country</t>
  </si>
  <si>
    <t>IN</t>
  </si>
  <si>
    <t>Currency*</t>
  </si>
  <si>
    <t>Default Fixed Value, V - Moving average price</t>
  </si>
  <si>
    <t>V</t>
  </si>
  <si>
    <t>Price Control*</t>
  </si>
  <si>
    <t>Valuation Current Period</t>
  </si>
  <si>
    <t>Default Fixed Value</t>
  </si>
  <si>
    <t>Valuation Class*</t>
  </si>
  <si>
    <t>Need to understand the meaning</t>
  </si>
  <si>
    <t>Price Control Determination</t>
  </si>
  <si>
    <t>General Information</t>
  </si>
  <si>
    <t xml:space="preserve">Multiselection of list of all Plants. Selected Plant location should be default </t>
  </si>
  <si>
    <t>20AA</t>
  </si>
  <si>
    <t>Valuation Area*</t>
  </si>
  <si>
    <t>Product Number*</t>
  </si>
  <si>
    <t>Key</t>
  </si>
  <si>
    <t>Sheet: Valuation Data</t>
  </si>
  <si>
    <t>Each item will be extended to multiple Storage Location of the plant</t>
  </si>
  <si>
    <t>Storage Location*</t>
  </si>
  <si>
    <t>Plant*</t>
  </si>
  <si>
    <t>Sheet: Storage Locations</t>
  </si>
  <si>
    <t>Selection Default X, If not required "NA"= blank</t>
  </si>
  <si>
    <t>Indicator: Sales</t>
  </si>
  <si>
    <t>Indicator: Quality</t>
  </si>
  <si>
    <t>Indicator: Purchasing</t>
  </si>
  <si>
    <t>Indicator: Storage</t>
  </si>
  <si>
    <t>• E = The product is produced in-house • F = The product is procured externally. • X = The product can be both produced in-house and procured externally.</t>
  </si>
  <si>
    <t>Selection of E, F, X (Default X)</t>
  </si>
  <si>
    <t>F</t>
  </si>
  <si>
    <t>Procurement Type</t>
  </si>
  <si>
    <t>MRP Procurement</t>
  </si>
  <si>
    <t>EX</t>
  </si>
  <si>
    <t>Lot Sizing Procedure</t>
  </si>
  <si>
    <t>MRP Lot-Size Data</t>
  </si>
  <si>
    <t>As per FI KDS</t>
  </si>
  <si>
    <t>HSN Code - 8 characters</t>
  </si>
  <si>
    <t>Taxes in International Trade</t>
  </si>
  <si>
    <t>International Trade</t>
  </si>
  <si>
    <t>IF it is a co-product than mark 'X' otherwise leave blank</t>
  </si>
  <si>
    <t>Indicator: Co-Product</t>
  </si>
  <si>
    <t>0001</t>
  </si>
  <si>
    <t>Loading Group</t>
  </si>
  <si>
    <t>User Secection Y/N</t>
  </si>
  <si>
    <t>Indicator: Batch Management Req.</t>
  </si>
  <si>
    <t>Auto fetch from plant</t>
  </si>
  <si>
    <t>Dynamic</t>
  </si>
  <si>
    <t>Profit Center</t>
  </si>
  <si>
    <t>General Data</t>
  </si>
  <si>
    <t>NC = No check</t>
  </si>
  <si>
    <t>Fixed value "NC"</t>
  </si>
  <si>
    <t>NC</t>
  </si>
  <si>
    <t>Availability Check</t>
  </si>
  <si>
    <t>Default PD</t>
  </si>
  <si>
    <t>Selection PD or ND</t>
  </si>
  <si>
    <t>MRP Type</t>
  </si>
  <si>
    <t>MRP Data</t>
  </si>
  <si>
    <t>Sheet: Plant Data</t>
  </si>
  <si>
    <t>Always 1</t>
  </si>
  <si>
    <t>Fixed value as per current tax</t>
  </si>
  <si>
    <t>1</t>
  </si>
  <si>
    <t>Tax Classification 6</t>
  </si>
  <si>
    <t>Always JTC1</t>
  </si>
  <si>
    <t>JTC1</t>
  </si>
  <si>
    <t>Tax Category 6</t>
  </si>
  <si>
    <t>Tax Classification 5</t>
  </si>
  <si>
    <t>Always JCOS</t>
  </si>
  <si>
    <t>JCOS</t>
  </si>
  <si>
    <t>Tax Category 5</t>
  </si>
  <si>
    <t>Always 0</t>
  </si>
  <si>
    <t>0</t>
  </si>
  <si>
    <t>Tax Classification 4</t>
  </si>
  <si>
    <t>Always JOUG</t>
  </si>
  <si>
    <t>JOUG</t>
  </si>
  <si>
    <t>Tax Category 4</t>
  </si>
  <si>
    <t>Tax Classification 3</t>
  </si>
  <si>
    <t>Always JOCG</t>
  </si>
  <si>
    <t>JOCG</t>
  </si>
  <si>
    <t>Tax Category 3</t>
  </si>
  <si>
    <t>Tax Classification 2</t>
  </si>
  <si>
    <t>always JOSG</t>
  </si>
  <si>
    <t>JOSG</t>
  </si>
  <si>
    <t>Tax Category 2</t>
  </si>
  <si>
    <t>Tax Classification 1*</t>
  </si>
  <si>
    <t>Always JOIG</t>
  </si>
  <si>
    <t>JOIG</t>
  </si>
  <si>
    <t>Tax Category 1*</t>
  </si>
  <si>
    <t>Sales Tax</t>
  </si>
  <si>
    <t>Source country of the material or item</t>
  </si>
  <si>
    <t>Country/Region*</t>
  </si>
  <si>
    <t>Sheet: Tax Classification</t>
  </si>
  <si>
    <t>NORM</t>
  </si>
  <si>
    <t>Item Category Group*</t>
  </si>
  <si>
    <t>Grouping Terms - Sales</t>
  </si>
  <si>
    <t>ST</t>
  </si>
  <si>
    <t>Distribution Channel*</t>
  </si>
  <si>
    <t>KIPL</t>
  </si>
  <si>
    <t>Sales Organization*</t>
  </si>
  <si>
    <t>Sheet: Distribution Chains</t>
  </si>
  <si>
    <t>Indi. for the Shelf Life Expiration Date</t>
  </si>
  <si>
    <t>Minimum Remaining Shelf Life</t>
  </si>
  <si>
    <t>Total Shelf Life</t>
  </si>
  <si>
    <t>Shelf Life Advanced Planning</t>
  </si>
  <si>
    <t>ERP SQL</t>
  </si>
  <si>
    <t>Unit of Weight (ISO Format)</t>
  </si>
  <si>
    <t>Net Weight</t>
  </si>
  <si>
    <t>Gross Weight</t>
  </si>
  <si>
    <t>Dimensions Base Unit of Measure</t>
  </si>
  <si>
    <t>Indicator: Batch Management Required</t>
  </si>
  <si>
    <t>Old Product Number</t>
  </si>
  <si>
    <t>Basic Data</t>
  </si>
  <si>
    <t>Base Unit of Measure (ISO Format)*</t>
  </si>
  <si>
    <t>Language Key*</t>
  </si>
  <si>
    <t>Description*</t>
  </si>
  <si>
    <t>Product Group</t>
  </si>
  <si>
    <t>ZRAW</t>
  </si>
  <si>
    <t>Product Type*</t>
  </si>
  <si>
    <t>Header Data</t>
  </si>
  <si>
    <t>CONGEDB0032</t>
  </si>
  <si>
    <t>Sheet: Basic Data</t>
  </si>
  <si>
    <t>Logic</t>
  </si>
  <si>
    <t>Source</t>
  </si>
  <si>
    <t>Data sample</t>
  </si>
  <si>
    <t>Column Name</t>
  </si>
  <si>
    <t>Column Group Name</t>
  </si>
  <si>
    <t>Sheet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</si>
</sst>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3"/>
      <color rgb="FFFFFFFF"/>
      <name val="Arial"/>
      <family val="2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548235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5" fillId="7" borderId="0" xfId="0" applyFont="1" applyFill="1"/>
    <xf numFmtId="0" fontId="0" fillId="0" borderId="0" xfId="0" quotePrefix="1"/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som_home/Library/Application%20Support/Claude/local-agent-mode-sessions/78bbc24e-f9a7-46c7-9c3d-1579a9dfb9d7/c76254d1-93f9-4277-8d71-0210bb3f87ed/local_fc14d26f-464a-4462-a6f1-2e49fdb94e91/outputs/Item_Master_Consolidated.xlsx" TargetMode="External"/><Relationship Id="rId2" Type="http://schemas.microsoft.com/office/2019/04/relationships/externalLinkLongPath" Target="/Users/som_home/Library/Application%20Support/Claude/local-agent-mode-sessions/78bbc24e-f9a7-46c7-9c3d-1579a9dfb9d7/c76254d1-93f9-4277-8d71-0210bb3f87ed/local_fc14d26f-464a-4462-a6f1-2e49fdb94e91/outputs/Item_Master_Consolidated.xlsx?3EB81822" TargetMode="External"/><Relationship Id="rId1" Type="http://schemas.openxmlformats.org/officeDocument/2006/relationships/externalLinkPath" Target="file:///3EB81822/Item_Master_Consoli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tem Master Consolidated"/>
      <sheetName val="Single Row template"/>
      <sheetName val="Raw data"/>
      <sheetName val="Sheet3"/>
    </sheetNames>
    <sheetDataSet>
      <sheetData sheetId="0"/>
      <sheetData sheetId="1"/>
      <sheetData sheetId="2">
        <row r="1">
          <cell r="A1" t="str">
            <v>RAWMATCODE</v>
          </cell>
          <cell r="B1" t="str">
            <v>Product Type</v>
          </cell>
          <cell r="C1" t="str">
            <v>grntype</v>
          </cell>
          <cell r="D1" t="str">
            <v>Product Group</v>
          </cell>
          <cell r="E1" t="str">
            <v>Rawmatname</v>
          </cell>
          <cell r="F1" t="str">
            <v>lang</v>
          </cell>
          <cell r="G1" t="str">
            <v>baseuom</v>
          </cell>
          <cell r="H1" t="str">
            <v>PurchaseUom</v>
          </cell>
          <cell r="I1" t="str">
            <v>LONG TEXT</v>
          </cell>
          <cell r="J1" t="str">
            <v>WeightUom</v>
          </cell>
          <cell r="K1" t="str">
            <v>Weight</v>
          </cell>
          <cell r="L1" t="str">
            <v>hsncode</v>
          </cell>
          <cell r="M1" t="str">
            <v>LocationID</v>
          </cell>
          <cell r="N1" t="str">
            <v>sap_plantcode</v>
          </cell>
          <cell r="O1" t="str">
            <v>storage_location</v>
          </cell>
          <cell r="P1" t="str">
            <v>GrnTypeId</v>
          </cell>
          <cell r="Q1" t="str">
            <v>RawMatID</v>
          </cell>
          <cell r="R1" t="str">
            <v>profitcentercode</v>
          </cell>
        </row>
        <row r="2">
          <cell r="A2" t="str">
            <v>CONGEDB0032</v>
          </cell>
          <cell r="B2" t="str">
            <v>ZRAW</v>
          </cell>
          <cell r="C2" t="str">
            <v>Consumable</v>
          </cell>
          <cell r="D2" t="str">
            <v>NULL</v>
          </cell>
          <cell r="E2" t="str">
            <v>DRILL BIT 10MM X 116 FLUTE LENGTH (T/S)</v>
          </cell>
          <cell r="F2" t="str">
            <v>EN</v>
          </cell>
          <cell r="G2" t="str">
            <v>EA</v>
          </cell>
          <cell r="H2" t="str">
            <v>EA</v>
          </cell>
          <cell r="K2">
            <v>0</v>
          </cell>
          <cell r="L2">
            <v>82070000</v>
          </cell>
          <cell r="M2">
            <v>5</v>
          </cell>
          <cell r="N2">
            <v>2004</v>
          </cell>
          <cell r="O2" t="str">
            <v>CNCD</v>
          </cell>
          <cell r="P2">
            <v>2</v>
          </cell>
          <cell r="Q2">
            <v>394649</v>
          </cell>
          <cell r="R2">
            <v>200401</v>
          </cell>
        </row>
        <row r="3">
          <cell r="A3" t="str">
            <v>CONGEDB0032</v>
          </cell>
          <cell r="B3" t="str">
            <v>ZRAW</v>
          </cell>
          <cell r="C3" t="str">
            <v>Consumable</v>
          </cell>
          <cell r="D3" t="str">
            <v>NULL</v>
          </cell>
          <cell r="E3" t="str">
            <v>DRILL BIT 10MM X 116 FLUTE LENGTH (T/S)</v>
          </cell>
          <cell r="F3" t="str">
            <v>EN</v>
          </cell>
          <cell r="G3" t="str">
            <v>EA</v>
          </cell>
          <cell r="H3" t="str">
            <v>EA</v>
          </cell>
          <cell r="K3">
            <v>0</v>
          </cell>
          <cell r="L3">
            <v>82070000</v>
          </cell>
          <cell r="M3">
            <v>3</v>
          </cell>
          <cell r="N3">
            <v>2001</v>
          </cell>
          <cell r="O3" t="str">
            <v>MXST</v>
          </cell>
          <cell r="P3">
            <v>2</v>
          </cell>
          <cell r="Q3">
            <v>394649</v>
          </cell>
          <cell r="R3">
            <v>200101</v>
          </cell>
        </row>
        <row r="4">
          <cell r="A4" t="str">
            <v>CONGEDB0032</v>
          </cell>
          <cell r="B4" t="str">
            <v>ZRAW</v>
          </cell>
          <cell r="C4" t="str">
            <v>Consumable</v>
          </cell>
          <cell r="D4" t="str">
            <v>NULL</v>
          </cell>
          <cell r="E4" t="str">
            <v>DRILL BIT 10MM X 116 FLUTE LENGTH (T/S)</v>
          </cell>
          <cell r="F4" t="str">
            <v>EN</v>
          </cell>
          <cell r="G4" t="str">
            <v>EA</v>
          </cell>
          <cell r="H4" t="str">
            <v>EA</v>
          </cell>
          <cell r="K4">
            <v>0</v>
          </cell>
          <cell r="L4">
            <v>82070000</v>
          </cell>
          <cell r="M4">
            <v>3</v>
          </cell>
          <cell r="N4">
            <v>2001</v>
          </cell>
          <cell r="O4" t="str">
            <v>SUBC</v>
          </cell>
          <cell r="P4">
            <v>2</v>
          </cell>
          <cell r="Q4">
            <v>394649</v>
          </cell>
          <cell r="R4">
            <v>200101</v>
          </cell>
        </row>
        <row r="5">
          <cell r="A5" t="str">
            <v>CONGEDB0032</v>
          </cell>
          <cell r="B5" t="str">
            <v>ZRAW</v>
          </cell>
          <cell r="C5" t="str">
            <v>Consumable</v>
          </cell>
          <cell r="D5" t="str">
            <v>NULL</v>
          </cell>
          <cell r="E5" t="str">
            <v>DRILL BIT 10MM X 116 FLUTE LENGTH (T/S)</v>
          </cell>
          <cell r="F5" t="str">
            <v>EN</v>
          </cell>
          <cell r="G5" t="str">
            <v>EA</v>
          </cell>
          <cell r="H5" t="str">
            <v>EA</v>
          </cell>
          <cell r="K5">
            <v>0</v>
          </cell>
          <cell r="L5">
            <v>82070000</v>
          </cell>
          <cell r="M5">
            <v>2</v>
          </cell>
          <cell r="N5">
            <v>2002</v>
          </cell>
          <cell r="O5" t="str">
            <v>VNRT</v>
          </cell>
          <cell r="P5">
            <v>2</v>
          </cell>
          <cell r="Q5">
            <v>394649</v>
          </cell>
          <cell r="R5">
            <v>200201</v>
          </cell>
        </row>
        <row r="6">
          <cell r="A6" t="str">
            <v>CONGEDB0032</v>
          </cell>
          <cell r="B6" t="str">
            <v>ZRAW</v>
          </cell>
          <cell r="C6" t="str">
            <v>Consumable</v>
          </cell>
          <cell r="D6" t="str">
            <v>NULL</v>
          </cell>
          <cell r="E6" t="str">
            <v>DRILL BIT 10MM X 116 FLUTE LENGTH (T/S)</v>
          </cell>
          <cell r="F6" t="str">
            <v>EN</v>
          </cell>
          <cell r="G6" t="str">
            <v>EA</v>
          </cell>
          <cell r="H6" t="str">
            <v>EA</v>
          </cell>
          <cell r="K6">
            <v>0</v>
          </cell>
          <cell r="L6">
            <v>82070000</v>
          </cell>
          <cell r="M6">
            <v>2</v>
          </cell>
          <cell r="N6">
            <v>2002</v>
          </cell>
          <cell r="O6" t="str">
            <v>CSHT</v>
          </cell>
          <cell r="P6">
            <v>2</v>
          </cell>
          <cell r="Q6">
            <v>394649</v>
          </cell>
          <cell r="R6">
            <v>200201</v>
          </cell>
        </row>
        <row r="7">
          <cell r="A7" t="str">
            <v>CONGEDB0032</v>
          </cell>
          <cell r="B7" t="str">
            <v>ZRAW</v>
          </cell>
          <cell r="C7" t="str">
            <v>Consumable</v>
          </cell>
          <cell r="D7" t="str">
            <v>NULL</v>
          </cell>
          <cell r="E7" t="str">
            <v>DRILL BIT 10MM X 116 FLUTE LENGTH (T/S)</v>
          </cell>
          <cell r="F7" t="str">
            <v>EN</v>
          </cell>
          <cell r="G7" t="str">
            <v>EA</v>
          </cell>
          <cell r="H7" t="str">
            <v>EA</v>
          </cell>
          <cell r="K7">
            <v>0</v>
          </cell>
          <cell r="L7">
            <v>82070000</v>
          </cell>
          <cell r="M7">
            <v>3</v>
          </cell>
          <cell r="N7">
            <v>2001</v>
          </cell>
          <cell r="O7" t="str">
            <v>SH01</v>
          </cell>
          <cell r="P7">
            <v>2</v>
          </cell>
          <cell r="Q7">
            <v>394649</v>
          </cell>
          <cell r="R7">
            <v>200101</v>
          </cell>
        </row>
        <row r="8">
          <cell r="A8" t="str">
            <v>CONGEDB0032</v>
          </cell>
          <cell r="B8" t="str">
            <v>ZRAW</v>
          </cell>
          <cell r="C8" t="str">
            <v>Consumable</v>
          </cell>
          <cell r="D8" t="str">
            <v>NULL</v>
          </cell>
          <cell r="E8" t="str">
            <v>DRILL BIT 10MM X 116 FLUTE LENGTH (T/S)</v>
          </cell>
          <cell r="F8" t="str">
            <v>EN</v>
          </cell>
          <cell r="G8" t="str">
            <v>EA</v>
          </cell>
          <cell r="H8" t="str">
            <v>EA</v>
          </cell>
          <cell r="K8">
            <v>0</v>
          </cell>
          <cell r="L8">
            <v>82070000</v>
          </cell>
          <cell r="M8">
            <v>2</v>
          </cell>
          <cell r="N8">
            <v>2002</v>
          </cell>
          <cell r="O8" t="str">
            <v>JOLT</v>
          </cell>
          <cell r="P8">
            <v>2</v>
          </cell>
          <cell r="Q8">
            <v>394649</v>
          </cell>
          <cell r="R8">
            <v>200201</v>
          </cell>
        </row>
        <row r="9">
          <cell r="A9" t="str">
            <v>CONGEDB0032</v>
          </cell>
          <cell r="B9" t="str">
            <v>ZRAW</v>
          </cell>
          <cell r="C9" t="str">
            <v>Consumable</v>
          </cell>
          <cell r="D9" t="str">
            <v>NULL</v>
          </cell>
          <cell r="E9" t="str">
            <v>DRILL BIT 10MM X 116 FLUTE LENGTH (T/S)</v>
          </cell>
          <cell r="F9" t="str">
            <v>EN</v>
          </cell>
          <cell r="G9" t="str">
            <v>EA</v>
          </cell>
          <cell r="H9" t="str">
            <v>EA</v>
          </cell>
          <cell r="K9">
            <v>0</v>
          </cell>
          <cell r="L9">
            <v>82070000</v>
          </cell>
          <cell r="M9">
            <v>2</v>
          </cell>
          <cell r="N9">
            <v>2002</v>
          </cell>
          <cell r="O9" t="str">
            <v>MXST</v>
          </cell>
          <cell r="P9">
            <v>2</v>
          </cell>
          <cell r="Q9">
            <v>394649</v>
          </cell>
          <cell r="R9">
            <v>200201</v>
          </cell>
        </row>
        <row r="10">
          <cell r="A10" t="str">
            <v>CONGEDB0032</v>
          </cell>
          <cell r="B10" t="str">
            <v>ZRAW</v>
          </cell>
          <cell r="C10" t="str">
            <v>Consumable</v>
          </cell>
          <cell r="D10" t="str">
            <v>NULL</v>
          </cell>
          <cell r="E10" t="str">
            <v>DRILL BIT 10MM X 116 FLUTE LENGTH (T/S)</v>
          </cell>
          <cell r="F10" t="str">
            <v>EN</v>
          </cell>
          <cell r="G10" t="str">
            <v>EA</v>
          </cell>
          <cell r="H10" t="str">
            <v>EA</v>
          </cell>
          <cell r="K10">
            <v>0</v>
          </cell>
          <cell r="L10">
            <v>82070000</v>
          </cell>
          <cell r="M10">
            <v>3</v>
          </cell>
          <cell r="N10">
            <v>2001</v>
          </cell>
          <cell r="O10" t="str">
            <v>RGOL</v>
          </cell>
          <cell r="P10">
            <v>2</v>
          </cell>
          <cell r="Q10">
            <v>394649</v>
          </cell>
          <cell r="R10">
            <v>200101</v>
          </cell>
        </row>
        <row r="11">
          <cell r="A11" t="str">
            <v>CONGEDB0032</v>
          </cell>
          <cell r="B11" t="str">
            <v>ZRAW</v>
          </cell>
          <cell r="C11" t="str">
            <v>Consumable</v>
          </cell>
          <cell r="D11" t="str">
            <v>NULL</v>
          </cell>
          <cell r="E11" t="str">
            <v>DRILL BIT 10MM X 116 FLUTE LENGTH (T/S)</v>
          </cell>
          <cell r="F11" t="str">
            <v>EN</v>
          </cell>
          <cell r="G11" t="str">
            <v>EA</v>
          </cell>
          <cell r="H11" t="str">
            <v>EA</v>
          </cell>
          <cell r="K11">
            <v>0</v>
          </cell>
          <cell r="L11">
            <v>82070000</v>
          </cell>
          <cell r="M11">
            <v>3</v>
          </cell>
          <cell r="N11">
            <v>2001</v>
          </cell>
          <cell r="O11" t="str">
            <v>VNRT</v>
          </cell>
          <cell r="P11">
            <v>2</v>
          </cell>
          <cell r="Q11">
            <v>394649</v>
          </cell>
          <cell r="R11">
            <v>200101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8AF8-D388-324E-B0C7-736A60696A89}">
  <dimension ref="A1:F63"/>
  <sheetViews>
    <sheetView tabSelected="1" zoomScale="150" workbookViewId="0">
      <selection activeCell="D54" sqref="D54"/>
    </sheetView>
  </sheetViews>
  <sheetFormatPr baseColWidth="10" defaultRowHeight="15" x14ac:dyDescent="0.2"/>
  <cols>
    <col min="1" max="1" width="28.83203125" bestFit="1" customWidth="1"/>
    <col min="2" max="2" width="29.1640625" bestFit="1" customWidth="1"/>
    <col min="3" max="3" width="44.83203125" customWidth="1"/>
    <col min="4" max="4" width="35" bestFit="1" customWidth="1"/>
    <col min="5" max="5" width="35.5" customWidth="1"/>
    <col min="6" max="6" width="31" bestFit="1" customWidth="1"/>
  </cols>
  <sheetData>
    <row r="1" spans="1:6" ht="25" customHeight="1" x14ac:dyDescent="0.2">
      <c r="A1" s="12" t="s">
        <v>131</v>
      </c>
      <c r="B1" s="12" t="s">
        <v>130</v>
      </c>
      <c r="C1" s="12" t="s">
        <v>129</v>
      </c>
      <c r="D1" s="12" t="s">
        <v>128</v>
      </c>
      <c r="E1" s="12" t="s">
        <v>127</v>
      </c>
      <c r="F1" s="12" t="s">
        <v>126</v>
      </c>
    </row>
    <row r="2" spans="1:6" x14ac:dyDescent="0.2">
      <c r="A2" s="5" t="s">
        <v>125</v>
      </c>
      <c r="B2" s="9" t="s">
        <v>22</v>
      </c>
      <c r="C2" s="4" t="s">
        <v>21</v>
      </c>
      <c r="D2" t="s">
        <v>124</v>
      </c>
    </row>
    <row r="3" spans="1:6" x14ac:dyDescent="0.2">
      <c r="A3" s="2"/>
      <c r="B3" s="3" t="s">
        <v>123</v>
      </c>
      <c r="C3" s="1" t="s">
        <v>122</v>
      </c>
      <c r="D3" t="s">
        <v>121</v>
      </c>
      <c r="E3" t="s">
        <v>109</v>
      </c>
    </row>
    <row r="4" spans="1:6" x14ac:dyDescent="0.2">
      <c r="A4" s="2"/>
      <c r="B4" s="2"/>
      <c r="C4" s="1" t="s">
        <v>120</v>
      </c>
      <c r="D4" t="str">
        <f>VLOOKUP(D2,'[1]Raw data'!1:3,3,0)</f>
        <v>Consumable</v>
      </c>
      <c r="E4" t="s">
        <v>109</v>
      </c>
    </row>
    <row r="5" spans="1:6" x14ac:dyDescent="0.2">
      <c r="A5" s="2"/>
      <c r="B5" s="2"/>
      <c r="C5" s="1" t="s">
        <v>119</v>
      </c>
      <c r="D5" t="str">
        <f>VLOOKUP(D2,'[1]Raw data'!1:5,5,0)</f>
        <v>DRILL BIT 10MM X 116 FLUTE LENGTH (T/S)</v>
      </c>
      <c r="E5" t="s">
        <v>109</v>
      </c>
    </row>
    <row r="6" spans="1:6" x14ac:dyDescent="0.2">
      <c r="A6" s="2"/>
      <c r="B6" s="2"/>
      <c r="C6" s="1" t="s">
        <v>118</v>
      </c>
      <c r="D6" t="str">
        <f>VLOOKUP(D2,'[1]Raw data'!1:6,6,0)</f>
        <v>EN</v>
      </c>
      <c r="E6" t="s">
        <v>109</v>
      </c>
    </row>
    <row r="7" spans="1:6" x14ac:dyDescent="0.2">
      <c r="A7" s="2"/>
      <c r="B7" s="2"/>
      <c r="C7" s="1" t="s">
        <v>117</v>
      </c>
      <c r="D7" t="str">
        <f>VLOOKUP(D2,'[1]Raw data'!1:7,7,0)</f>
        <v>EA</v>
      </c>
      <c r="E7" t="s">
        <v>109</v>
      </c>
    </row>
    <row r="8" spans="1:6" x14ac:dyDescent="0.2">
      <c r="A8" s="2"/>
      <c r="B8" s="3" t="s">
        <v>116</v>
      </c>
      <c r="C8" s="1" t="s">
        <v>115</v>
      </c>
      <c r="D8" t="str">
        <f>D2</f>
        <v>CONGEDB0032</v>
      </c>
      <c r="E8" t="s">
        <v>109</v>
      </c>
    </row>
    <row r="9" spans="1:6" x14ac:dyDescent="0.2">
      <c r="A9" s="2"/>
      <c r="B9" s="2"/>
      <c r="C9" s="6" t="s">
        <v>114</v>
      </c>
    </row>
    <row r="10" spans="1:6" x14ac:dyDescent="0.2">
      <c r="A10" s="2"/>
      <c r="B10" s="3" t="s">
        <v>113</v>
      </c>
      <c r="C10" s="1" t="s">
        <v>112</v>
      </c>
      <c r="D10">
        <f>VLOOKUP(D2,'[1]Raw data'!1:11,11,0)</f>
        <v>0</v>
      </c>
      <c r="E10" t="s">
        <v>109</v>
      </c>
    </row>
    <row r="11" spans="1:6" x14ac:dyDescent="0.2">
      <c r="A11" s="2"/>
      <c r="B11" s="2"/>
      <c r="C11" s="1" t="s">
        <v>111</v>
      </c>
      <c r="D11">
        <f>VLOOKUP(D2,'[1]Raw data'!1:11,11,0)</f>
        <v>0</v>
      </c>
      <c r="E11" t="s">
        <v>109</v>
      </c>
    </row>
    <row r="12" spans="1:6" x14ac:dyDescent="0.2">
      <c r="A12" s="2"/>
      <c r="B12" s="2"/>
      <c r="C12" s="1" t="s">
        <v>110</v>
      </c>
      <c r="D12">
        <f>VLOOKUP(D2,'[1]Raw data'!1:10,10,0)</f>
        <v>0</v>
      </c>
      <c r="E12" t="s">
        <v>109</v>
      </c>
    </row>
    <row r="13" spans="1:6" x14ac:dyDescent="0.2">
      <c r="A13" s="2"/>
      <c r="B13" s="3" t="s">
        <v>108</v>
      </c>
      <c r="C13" s="6" t="s">
        <v>107</v>
      </c>
    </row>
    <row r="14" spans="1:6" x14ac:dyDescent="0.2">
      <c r="A14" s="2"/>
      <c r="B14" s="2"/>
      <c r="C14" s="6" t="s">
        <v>106</v>
      </c>
    </row>
    <row r="15" spans="1:6" x14ac:dyDescent="0.2">
      <c r="A15" s="2"/>
      <c r="B15" s="2"/>
      <c r="C15" s="6" t="s">
        <v>105</v>
      </c>
    </row>
    <row r="16" spans="1:6" x14ac:dyDescent="0.2">
      <c r="A16" s="2"/>
      <c r="B16" s="3" t="s">
        <v>5</v>
      </c>
      <c r="C16" s="6" t="s">
        <v>30</v>
      </c>
      <c r="D16" t="s">
        <v>2</v>
      </c>
      <c r="E16" t="s">
        <v>28</v>
      </c>
    </row>
    <row r="17" spans="1:6" x14ac:dyDescent="0.2">
      <c r="A17" s="2"/>
      <c r="B17" s="2"/>
      <c r="C17" s="6" t="s">
        <v>29</v>
      </c>
      <c r="D17" t="s">
        <v>2</v>
      </c>
      <c r="E17" t="s">
        <v>28</v>
      </c>
    </row>
    <row r="18" spans="1:6" x14ac:dyDescent="0.2">
      <c r="A18" s="2"/>
      <c r="B18" s="2"/>
      <c r="C18" s="6" t="s">
        <v>32</v>
      </c>
      <c r="D18" t="s">
        <v>2</v>
      </c>
      <c r="E18" t="s">
        <v>28</v>
      </c>
    </row>
    <row r="19" spans="1:6" x14ac:dyDescent="0.2">
      <c r="A19" s="2"/>
      <c r="B19" s="2"/>
      <c r="C19" s="6" t="s">
        <v>31</v>
      </c>
      <c r="D19" t="s">
        <v>2</v>
      </c>
      <c r="E19" t="s">
        <v>28</v>
      </c>
    </row>
    <row r="20" spans="1:6" x14ac:dyDescent="0.2">
      <c r="A20" s="5" t="s">
        <v>104</v>
      </c>
      <c r="B20" s="3" t="s">
        <v>22</v>
      </c>
      <c r="C20" s="4" t="s">
        <v>21</v>
      </c>
      <c r="D20" t="str">
        <f>D2</f>
        <v>CONGEDB0032</v>
      </c>
    </row>
    <row r="21" spans="1:6" x14ac:dyDescent="0.2">
      <c r="A21" s="2"/>
      <c r="B21" s="2"/>
      <c r="C21" s="1" t="s">
        <v>103</v>
      </c>
      <c r="D21" t="s">
        <v>102</v>
      </c>
    </row>
    <row r="22" spans="1:6" x14ac:dyDescent="0.2">
      <c r="A22" s="2"/>
      <c r="B22" s="2"/>
      <c r="C22" s="6" t="s">
        <v>101</v>
      </c>
      <c r="D22" t="s">
        <v>100</v>
      </c>
    </row>
    <row r="23" spans="1:6" x14ac:dyDescent="0.2">
      <c r="A23" s="2"/>
      <c r="B23" s="9" t="s">
        <v>99</v>
      </c>
      <c r="C23" s="6" t="s">
        <v>98</v>
      </c>
      <c r="D23" t="s">
        <v>97</v>
      </c>
    </row>
    <row r="24" spans="1:6" x14ac:dyDescent="0.2">
      <c r="A24" s="5" t="s">
        <v>96</v>
      </c>
      <c r="B24" s="3" t="s">
        <v>22</v>
      </c>
      <c r="C24" s="4" t="s">
        <v>21</v>
      </c>
      <c r="D24" t="str">
        <f>D2</f>
        <v>CONGEDB0032</v>
      </c>
    </row>
    <row r="25" spans="1:6" x14ac:dyDescent="0.2">
      <c r="A25" s="2"/>
      <c r="B25" s="2"/>
      <c r="C25" s="6" t="s">
        <v>95</v>
      </c>
      <c r="D25" t="s">
        <v>7</v>
      </c>
      <c r="F25" t="s">
        <v>94</v>
      </c>
    </row>
    <row r="26" spans="1:6" x14ac:dyDescent="0.2">
      <c r="A26" s="2"/>
      <c r="B26" s="3" t="s">
        <v>93</v>
      </c>
      <c r="C26" s="6" t="s">
        <v>92</v>
      </c>
      <c r="D26" t="s">
        <v>91</v>
      </c>
      <c r="E26" t="s">
        <v>65</v>
      </c>
      <c r="F26" t="s">
        <v>90</v>
      </c>
    </row>
    <row r="27" spans="1:6" x14ac:dyDescent="0.2">
      <c r="A27" s="2"/>
      <c r="B27" s="2"/>
      <c r="C27" s="6" t="s">
        <v>89</v>
      </c>
      <c r="D27" t="s">
        <v>76</v>
      </c>
      <c r="E27" t="s">
        <v>65</v>
      </c>
      <c r="F27" t="s">
        <v>75</v>
      </c>
    </row>
    <row r="28" spans="1:6" x14ac:dyDescent="0.2">
      <c r="A28" s="2"/>
      <c r="B28" s="2"/>
      <c r="C28" s="6" t="s">
        <v>88</v>
      </c>
      <c r="D28" t="s">
        <v>87</v>
      </c>
      <c r="E28" t="s">
        <v>65</v>
      </c>
      <c r="F28" t="s">
        <v>86</v>
      </c>
    </row>
    <row r="29" spans="1:6" x14ac:dyDescent="0.2">
      <c r="A29" s="2"/>
      <c r="B29" s="2"/>
      <c r="C29" s="6" t="s">
        <v>85</v>
      </c>
      <c r="D29" t="s">
        <v>76</v>
      </c>
      <c r="E29" t="s">
        <v>65</v>
      </c>
      <c r="F29" t="s">
        <v>75</v>
      </c>
    </row>
    <row r="30" spans="1:6" x14ac:dyDescent="0.2">
      <c r="A30" s="2"/>
      <c r="B30" s="2"/>
      <c r="C30" s="6" t="s">
        <v>84</v>
      </c>
      <c r="D30" t="s">
        <v>83</v>
      </c>
      <c r="E30" t="s">
        <v>65</v>
      </c>
      <c r="F30" t="s">
        <v>82</v>
      </c>
    </row>
    <row r="31" spans="1:6" x14ac:dyDescent="0.2">
      <c r="A31" s="2"/>
      <c r="B31" s="2"/>
      <c r="C31" s="6" t="s">
        <v>81</v>
      </c>
      <c r="D31" t="s">
        <v>76</v>
      </c>
      <c r="E31" t="s">
        <v>65</v>
      </c>
      <c r="F31" t="s">
        <v>75</v>
      </c>
    </row>
    <row r="32" spans="1:6" x14ac:dyDescent="0.2">
      <c r="A32" s="2"/>
      <c r="B32" s="2"/>
      <c r="C32" s="6" t="s">
        <v>80</v>
      </c>
      <c r="D32" t="s">
        <v>79</v>
      </c>
      <c r="E32" t="s">
        <v>65</v>
      </c>
      <c r="F32" t="s">
        <v>78</v>
      </c>
    </row>
    <row r="33" spans="1:6" x14ac:dyDescent="0.2">
      <c r="A33" s="2"/>
      <c r="B33" s="2"/>
      <c r="C33" s="6" t="s">
        <v>77</v>
      </c>
      <c r="D33" t="s">
        <v>76</v>
      </c>
      <c r="E33" t="s">
        <v>65</v>
      </c>
      <c r="F33" t="s">
        <v>75</v>
      </c>
    </row>
    <row r="34" spans="1:6" x14ac:dyDescent="0.2">
      <c r="A34" s="2"/>
      <c r="B34" s="2"/>
      <c r="C34" s="6" t="s">
        <v>74</v>
      </c>
      <c r="D34" t="s">
        <v>73</v>
      </c>
      <c r="E34" t="s">
        <v>65</v>
      </c>
      <c r="F34" t="s">
        <v>72</v>
      </c>
    </row>
    <row r="35" spans="1:6" x14ac:dyDescent="0.2">
      <c r="A35" s="2"/>
      <c r="B35" s="2"/>
      <c r="C35" s="6" t="s">
        <v>71</v>
      </c>
      <c r="D35" t="s">
        <v>66</v>
      </c>
      <c r="E35" t="s">
        <v>65</v>
      </c>
      <c r="F35" t="s">
        <v>64</v>
      </c>
    </row>
    <row r="36" spans="1:6" x14ac:dyDescent="0.2">
      <c r="A36" s="2"/>
      <c r="B36" s="2"/>
      <c r="C36" s="6" t="s">
        <v>70</v>
      </c>
      <c r="D36" t="s">
        <v>69</v>
      </c>
      <c r="E36" t="s">
        <v>65</v>
      </c>
      <c r="F36" t="s">
        <v>68</v>
      </c>
    </row>
    <row r="37" spans="1:6" x14ac:dyDescent="0.2">
      <c r="A37" s="2"/>
      <c r="B37" s="2"/>
      <c r="C37" s="6" t="s">
        <v>67</v>
      </c>
      <c r="D37" t="s">
        <v>66</v>
      </c>
      <c r="E37" t="s">
        <v>65</v>
      </c>
      <c r="F37" t="s">
        <v>64</v>
      </c>
    </row>
    <row r="38" spans="1:6" x14ac:dyDescent="0.2">
      <c r="A38" s="5" t="s">
        <v>63</v>
      </c>
      <c r="B38" s="3" t="s">
        <v>22</v>
      </c>
      <c r="C38" s="4" t="s">
        <v>21</v>
      </c>
      <c r="D38" t="str">
        <f>D2</f>
        <v>CONGEDB0032</v>
      </c>
    </row>
    <row r="39" spans="1:6" x14ac:dyDescent="0.2">
      <c r="A39" s="2"/>
      <c r="B39" s="2"/>
      <c r="C39" s="6" t="s">
        <v>26</v>
      </c>
      <c r="D39">
        <v>2001</v>
      </c>
    </row>
    <row r="40" spans="1:6" x14ac:dyDescent="0.2">
      <c r="A40" s="2"/>
      <c r="B40" s="3" t="s">
        <v>62</v>
      </c>
      <c r="C40" s="1" t="s">
        <v>61</v>
      </c>
      <c r="E40" t="s">
        <v>60</v>
      </c>
      <c r="F40" t="s">
        <v>59</v>
      </c>
    </row>
    <row r="41" spans="1:6" x14ac:dyDescent="0.2">
      <c r="A41" s="2"/>
      <c r="B41" s="2"/>
      <c r="C41" s="1" t="s">
        <v>58</v>
      </c>
      <c r="D41" t="s">
        <v>57</v>
      </c>
      <c r="E41" t="s">
        <v>56</v>
      </c>
      <c r="F41" t="s">
        <v>55</v>
      </c>
    </row>
    <row r="42" spans="1:6" x14ac:dyDescent="0.2">
      <c r="A42" s="2"/>
      <c r="B42" s="3" t="s">
        <v>54</v>
      </c>
      <c r="C42" s="1" t="s">
        <v>53</v>
      </c>
      <c r="D42">
        <v>2001</v>
      </c>
      <c r="E42" t="s">
        <v>52</v>
      </c>
      <c r="F42" t="s">
        <v>51</v>
      </c>
    </row>
    <row r="43" spans="1:6" x14ac:dyDescent="0.2">
      <c r="A43" s="2"/>
      <c r="B43" s="2"/>
      <c r="C43" s="1" t="s">
        <v>50</v>
      </c>
      <c r="E43" t="s">
        <v>49</v>
      </c>
    </row>
    <row r="44" spans="1:6" x14ac:dyDescent="0.2">
      <c r="A44" s="2"/>
      <c r="B44" s="2"/>
      <c r="C44" s="1" t="s">
        <v>48</v>
      </c>
      <c r="E44" s="11" t="s">
        <v>47</v>
      </c>
    </row>
    <row r="45" spans="1:6" x14ac:dyDescent="0.2">
      <c r="A45" s="2"/>
      <c r="C45" s="1" t="s">
        <v>46</v>
      </c>
      <c r="E45" s="11"/>
      <c r="F45" t="s">
        <v>45</v>
      </c>
    </row>
    <row r="46" spans="1:6" x14ac:dyDescent="0.2">
      <c r="A46" s="2"/>
      <c r="B46" s="9" t="s">
        <v>44</v>
      </c>
      <c r="C46" s="1" t="s">
        <v>43</v>
      </c>
      <c r="E46" s="10" t="s">
        <v>42</v>
      </c>
      <c r="F46" t="s">
        <v>41</v>
      </c>
    </row>
    <row r="47" spans="1:6" x14ac:dyDescent="0.2">
      <c r="A47" s="2"/>
      <c r="B47" s="9" t="s">
        <v>40</v>
      </c>
      <c r="C47" s="1" t="s">
        <v>39</v>
      </c>
      <c r="D47" t="s">
        <v>38</v>
      </c>
      <c r="E47" t="s">
        <v>1</v>
      </c>
    </row>
    <row r="48" spans="1:6" ht="64" x14ac:dyDescent="0.2">
      <c r="A48" s="2"/>
      <c r="B48" s="9" t="s">
        <v>37</v>
      </c>
      <c r="C48" s="1" t="s">
        <v>36</v>
      </c>
      <c r="D48" t="s">
        <v>35</v>
      </c>
      <c r="E48" s="8" t="s">
        <v>34</v>
      </c>
      <c r="F48" s="7" t="s">
        <v>33</v>
      </c>
    </row>
    <row r="49" spans="1:6" x14ac:dyDescent="0.2">
      <c r="A49" s="2"/>
      <c r="B49" s="3" t="s">
        <v>5</v>
      </c>
      <c r="C49" s="1" t="s">
        <v>32</v>
      </c>
      <c r="D49" t="s">
        <v>2</v>
      </c>
      <c r="E49" t="s">
        <v>28</v>
      </c>
    </row>
    <row r="50" spans="1:6" x14ac:dyDescent="0.2">
      <c r="A50" s="2"/>
      <c r="B50" s="2"/>
      <c r="C50" s="1" t="s">
        <v>31</v>
      </c>
      <c r="D50" t="s">
        <v>2</v>
      </c>
      <c r="E50" t="s">
        <v>28</v>
      </c>
    </row>
    <row r="51" spans="1:6" x14ac:dyDescent="0.2">
      <c r="A51" s="2"/>
      <c r="B51" s="2"/>
      <c r="C51" s="1" t="s">
        <v>30</v>
      </c>
      <c r="D51" t="s">
        <v>2</v>
      </c>
      <c r="E51" t="s">
        <v>28</v>
      </c>
    </row>
    <row r="52" spans="1:6" x14ac:dyDescent="0.2">
      <c r="A52" s="2"/>
      <c r="B52" s="2"/>
      <c r="C52" s="1" t="s">
        <v>29</v>
      </c>
      <c r="D52" t="s">
        <v>2</v>
      </c>
      <c r="E52" t="s">
        <v>28</v>
      </c>
    </row>
    <row r="53" spans="1:6" x14ac:dyDescent="0.2">
      <c r="A53" s="5" t="s">
        <v>27</v>
      </c>
      <c r="B53" s="3" t="s">
        <v>22</v>
      </c>
      <c r="C53" s="4" t="s">
        <v>21</v>
      </c>
      <c r="D53">
        <v>2001</v>
      </c>
    </row>
    <row r="54" spans="1:6" x14ac:dyDescent="0.2">
      <c r="A54" s="2"/>
      <c r="B54" s="2"/>
      <c r="C54" s="6" t="s">
        <v>26</v>
      </c>
      <c r="D54">
        <v>2001</v>
      </c>
    </row>
    <row r="55" spans="1:6" x14ac:dyDescent="0.2">
      <c r="A55" s="2"/>
      <c r="B55" s="2"/>
      <c r="C55" s="1" t="s">
        <v>25</v>
      </c>
      <c r="F55" t="s">
        <v>24</v>
      </c>
    </row>
    <row r="56" spans="1:6" x14ac:dyDescent="0.2">
      <c r="A56" s="5" t="s">
        <v>23</v>
      </c>
      <c r="B56" s="3" t="s">
        <v>22</v>
      </c>
      <c r="C56" s="4" t="s">
        <v>21</v>
      </c>
      <c r="D56">
        <v>2001</v>
      </c>
    </row>
    <row r="57" spans="1:6" x14ac:dyDescent="0.2">
      <c r="A57" s="2"/>
      <c r="B57" s="2"/>
      <c r="C57" s="1" t="s">
        <v>20</v>
      </c>
      <c r="D57" t="s">
        <v>19</v>
      </c>
      <c r="E57" t="s">
        <v>18</v>
      </c>
    </row>
    <row r="58" spans="1:6" x14ac:dyDescent="0.2">
      <c r="A58" s="2"/>
      <c r="B58" s="3" t="s">
        <v>17</v>
      </c>
      <c r="C58" s="1" t="s">
        <v>16</v>
      </c>
      <c r="D58">
        <v>2</v>
      </c>
      <c r="E58" t="s">
        <v>1</v>
      </c>
      <c r="F58" t="s">
        <v>15</v>
      </c>
    </row>
    <row r="59" spans="1:6" x14ac:dyDescent="0.2">
      <c r="A59" s="2"/>
      <c r="B59" s="2"/>
      <c r="C59" s="1" t="s">
        <v>14</v>
      </c>
      <c r="D59">
        <v>3000</v>
      </c>
      <c r="E59" t="s">
        <v>13</v>
      </c>
    </row>
    <row r="60" spans="1:6" x14ac:dyDescent="0.2">
      <c r="A60" s="2"/>
      <c r="B60" s="3" t="s">
        <v>12</v>
      </c>
      <c r="C60" s="1" t="s">
        <v>11</v>
      </c>
      <c r="D60" t="s">
        <v>10</v>
      </c>
      <c r="E60" t="s">
        <v>9</v>
      </c>
    </row>
    <row r="61" spans="1:6" x14ac:dyDescent="0.2">
      <c r="A61" s="2"/>
      <c r="B61" s="2"/>
      <c r="C61" s="1" t="s">
        <v>8</v>
      </c>
      <c r="D61" t="s">
        <v>7</v>
      </c>
      <c r="E61" t="s">
        <v>6</v>
      </c>
    </row>
    <row r="62" spans="1:6" x14ac:dyDescent="0.2">
      <c r="A62" s="2"/>
      <c r="B62" s="3" t="s">
        <v>5</v>
      </c>
      <c r="C62" s="1" t="s">
        <v>4</v>
      </c>
      <c r="D62" t="s">
        <v>2</v>
      </c>
      <c r="E62" t="s">
        <v>1</v>
      </c>
      <c r="F62" t="s">
        <v>0</v>
      </c>
    </row>
    <row r="63" spans="1:6" x14ac:dyDescent="0.2">
      <c r="A63" s="2"/>
      <c r="B63" s="2"/>
      <c r="C63" s="1" t="s">
        <v>3</v>
      </c>
      <c r="D63" t="s">
        <v>2</v>
      </c>
      <c r="E63" t="s">
        <v>1</v>
      </c>
      <c r="F63" t="s">
        <v>0</v>
      </c>
    </row>
  </sheetData>
  <mergeCells count="23">
    <mergeCell ref="A2:A19"/>
    <mergeCell ref="B3:B7"/>
    <mergeCell ref="B8:B9"/>
    <mergeCell ref="B10:B12"/>
    <mergeCell ref="B13:B15"/>
    <mergeCell ref="B16:B19"/>
    <mergeCell ref="A20:A23"/>
    <mergeCell ref="B20:B22"/>
    <mergeCell ref="A24:A37"/>
    <mergeCell ref="B24:B25"/>
    <mergeCell ref="B26:B37"/>
    <mergeCell ref="A38:A52"/>
    <mergeCell ref="B38:B39"/>
    <mergeCell ref="B40:B41"/>
    <mergeCell ref="B42:B44"/>
    <mergeCell ref="B49:B52"/>
    <mergeCell ref="A53:A55"/>
    <mergeCell ref="B53:B55"/>
    <mergeCell ref="A56:A63"/>
    <mergeCell ref="B56:B57"/>
    <mergeCell ref="B58:B59"/>
    <mergeCell ref="B60:B61"/>
    <mergeCell ref="B62:B6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Mapping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Das</dc:creator>
  <cp:lastModifiedBy>Somnath Das</cp:lastModifiedBy>
  <dcterms:created xsi:type="dcterms:W3CDTF">2026-07-28T09:29:31Z</dcterms:created>
  <dcterms:modified xsi:type="dcterms:W3CDTF">2026-07-28T09:30:21Z</dcterms:modified>
</cp:coreProperties>
</file>